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36131893daf933e/Documents/"/>
    </mc:Choice>
  </mc:AlternateContent>
  <xr:revisionPtr revIDLastSave="0" documentId="8_{930801F6-50B6-4708-A55C-9E8232EC765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  <c r="C13" i="1"/>
  <c r="D11" i="2"/>
  <c r="D10" i="2"/>
  <c r="D9" i="2"/>
  <c r="D8" i="2"/>
  <c r="D7" i="2"/>
  <c r="D6" i="2"/>
  <c r="D5" i="2"/>
  <c r="D4" i="2"/>
  <c r="D3" i="2"/>
  <c r="D2" i="2"/>
  <c r="J4" i="1"/>
  <c r="K4" i="1"/>
  <c r="J5" i="1"/>
  <c r="K5" i="1"/>
  <c r="J6" i="1"/>
  <c r="K6" i="1"/>
  <c r="J7" i="1"/>
  <c r="K7" i="1"/>
  <c r="J8" i="1"/>
  <c r="K8" i="1"/>
  <c r="J9" i="1"/>
  <c r="K9" i="1"/>
  <c r="J10" i="1"/>
  <c r="K10" i="1"/>
  <c r="J11" i="1"/>
  <c r="K11" i="1"/>
  <c r="J3" i="1"/>
  <c r="K3" i="1"/>
  <c r="K2" i="1"/>
  <c r="J2" i="1"/>
</calcChain>
</file>

<file path=xl/sharedStrings.xml><?xml version="1.0" encoding="utf-8"?>
<sst xmlns="http://schemas.openxmlformats.org/spreadsheetml/2006/main" count="76" uniqueCount="36">
  <si>
    <t>Roll Number</t>
  </si>
  <si>
    <t>First Name</t>
  </si>
  <si>
    <t>Last Name</t>
  </si>
  <si>
    <t>DOB</t>
  </si>
  <si>
    <t>Class</t>
  </si>
  <si>
    <t>Unit 1</t>
  </si>
  <si>
    <t>Final Score</t>
  </si>
  <si>
    <t>Full Name</t>
  </si>
  <si>
    <t xml:space="preserve">Shivani </t>
  </si>
  <si>
    <t xml:space="preserve">Shubham </t>
  </si>
  <si>
    <t xml:space="preserve"> Anshu </t>
  </si>
  <si>
    <t>Bipin</t>
  </si>
  <si>
    <t>Shikha</t>
  </si>
  <si>
    <t>Rekha</t>
  </si>
  <si>
    <t>Hemant</t>
  </si>
  <si>
    <t>Supriya</t>
  </si>
  <si>
    <t>Ansh</t>
  </si>
  <si>
    <t>Seema</t>
  </si>
  <si>
    <t>Patel</t>
  </si>
  <si>
    <t>Ray</t>
  </si>
  <si>
    <t>Mishra</t>
  </si>
  <si>
    <t>Verma</t>
  </si>
  <si>
    <t>Kumar</t>
  </si>
  <si>
    <t>Devi</t>
  </si>
  <si>
    <t>Katiyar</t>
  </si>
  <si>
    <t>Singh</t>
  </si>
  <si>
    <t>Kashyap</t>
  </si>
  <si>
    <t>Green</t>
  </si>
  <si>
    <t>Blue</t>
  </si>
  <si>
    <t>Gender</t>
  </si>
  <si>
    <t>M</t>
  </si>
  <si>
    <t>F</t>
  </si>
  <si>
    <t>House</t>
  </si>
  <si>
    <t xml:space="preserve">Red </t>
  </si>
  <si>
    <t>Yellow</t>
  </si>
  <si>
    <t>Unit2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</si>
</sst>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5" tint="-0.499984740745262"/>
      <name val="Calibri"/>
      <family val="2"/>
      <scheme val="minor"/>
    </font>
    <font>
      <u/>
      <sz val="11"/>
      <color theme="10"/>
      <name val="Calibri"/>
      <family val="2"/>
    </font>
    <font>
      <b/>
      <u/>
      <sz val="11"/>
      <color theme="1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1">
    <xf numFmtId="0" fontId="0" fillId="0" borderId="0" xfId="0"/>
    <xf numFmtId="0" fontId="0" fillId="0" borderId="0" xfId="0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14" fontId="0" fillId="5" borderId="2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4" fontId="0" fillId="6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4" fontId="0" fillId="7" borderId="1" xfId="0" applyNumberFormat="1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14" fontId="0" fillId="8" borderId="1" xfId="0" applyNumberFormat="1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9" borderId="6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14" fontId="0" fillId="9" borderId="1" xfId="0" applyNumberFormat="1" applyFill="1" applyBorder="1" applyAlignment="1">
      <alignment horizontal="center"/>
    </xf>
    <xf numFmtId="0" fontId="0" fillId="9" borderId="8" xfId="0" applyFill="1" applyBorder="1" applyAlignment="1">
      <alignment horizontal="center"/>
    </xf>
    <xf numFmtId="0" fontId="0" fillId="10" borderId="6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14" fontId="0" fillId="10" borderId="1" xfId="0" applyNumberFormat="1" applyFill="1" applyBorder="1" applyAlignment="1">
      <alignment horizontal="center"/>
    </xf>
    <xf numFmtId="0" fontId="0" fillId="10" borderId="8" xfId="0" applyFill="1" applyBorder="1" applyAlignment="1">
      <alignment horizontal="center"/>
    </xf>
    <xf numFmtId="0" fontId="0" fillId="11" borderId="6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14" fontId="0" fillId="11" borderId="1" xfId="0" applyNumberFormat="1" applyFill="1" applyBorder="1" applyAlignment="1">
      <alignment horizontal="center"/>
    </xf>
    <xf numFmtId="0" fontId="0" fillId="11" borderId="8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14" fontId="0" fillId="4" borderId="13" xfId="0" applyNumberFormat="1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0" fontId="2" fillId="3" borderId="10" xfId="1" applyFill="1" applyBorder="1" applyAlignment="1" applyProtection="1">
      <alignment horizontal="center"/>
    </xf>
    <xf numFmtId="0" fontId="3" fillId="3" borderId="4" xfId="1" applyFont="1" applyFill="1" applyBorder="1" applyAlignment="1" applyProtection="1">
      <alignment horizontal="center"/>
    </xf>
    <xf numFmtId="0" fontId="0" fillId="4" borderId="3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16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theme="2" tint="-9.9978637043366805E-2"/>
        </patternFill>
      </fill>
      <alignment horizontal="center" vertical="bottom" textRotation="0" wrapText="0" relative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2" tint="-9.9978637043366805E-2"/>
        </patternFill>
      </fill>
      <alignment horizontal="center" vertical="bottom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2" tint="-9.9978637043366805E-2"/>
        </patternFill>
      </fill>
      <alignment horizontal="center" vertical="bottom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2" tint="-9.9978637043366805E-2"/>
        </patternFill>
      </fill>
      <alignment horizontal="center" vertical="bottom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2" tint="-9.9978637043366805E-2"/>
        </patternFill>
      </fill>
      <alignment horizontal="center" vertical="bottom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2" tint="-9.9978637043366805E-2"/>
        </patternFill>
      </fill>
      <alignment horizontal="center" vertical="bottom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2" tint="-9.9978637043366805E-2"/>
        </patternFill>
      </fill>
      <alignment horizontal="center" vertical="bottom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fill>
        <patternFill patternType="solid">
          <fgColor indexed="64"/>
          <bgColor theme="2" tint="-9.9978637043366805E-2"/>
        </patternFill>
      </fill>
      <alignment horizontal="center" vertical="bottom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2" tint="-9.9978637043366805E-2"/>
        </patternFill>
      </fill>
      <alignment horizontal="center" vertical="bottom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2" tint="-9.9978637043366805E-2"/>
        </patternFill>
      </fill>
      <alignment horizontal="center" vertical="bottom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2" tint="-9.9978637043366805E-2"/>
        </patternFill>
      </fill>
      <alignment horizontal="center" vertical="bottom" textRotation="0" wrapText="0" relative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fgColor indexed="64"/>
          <bgColor theme="2" tint="-9.9978637043366805E-2"/>
        </patternFill>
      </fill>
      <alignment horizontal="center" vertical="bottom" textRotation="0" wrapText="0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5" tint="-0.499984740745262"/>
        <name val="Calibri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>
    <mruColors>
      <color rgb="FFB0EAF0"/>
      <color rgb="FFE6EB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11" totalsRowShown="0" headerRowDxfId="15" dataDxfId="14" tableBorderDxfId="13">
  <autoFilter ref="A1:K11" xr:uid="{00000000-0009-0000-0100-000001000000}"/>
  <tableColumns count="11">
    <tableColumn id="1" xr3:uid="{00000000-0010-0000-0000-000001000000}" name="Roll Number" dataDxfId="12"/>
    <tableColumn id="2" xr3:uid="{00000000-0010-0000-0000-000002000000}" name="First Name" dataDxfId="11"/>
    <tableColumn id="3" xr3:uid="{00000000-0010-0000-0000-000003000000}" name="Last Name" dataDxfId="10"/>
    <tableColumn id="4" xr3:uid="{00000000-0010-0000-0000-000004000000}" name="DOB" dataDxfId="9"/>
    <tableColumn id="5" xr3:uid="{00000000-0010-0000-0000-000005000000}" name="Gender" dataDxfId="8"/>
    <tableColumn id="6" xr3:uid="{00000000-0010-0000-0000-000006000000}" name="Class" dataDxfId="7"/>
    <tableColumn id="7" xr3:uid="{00000000-0010-0000-0000-000007000000}" name="House" dataDxfId="6"/>
    <tableColumn id="8" xr3:uid="{00000000-0010-0000-0000-000008000000}" name="Unit 1" dataDxfId="5"/>
    <tableColumn id="9" xr3:uid="{00000000-0010-0000-0000-000009000000}" name="Unit2" dataDxfId="4"/>
    <tableColumn id="10" xr3:uid="{00000000-0010-0000-0000-00000A000000}" name="Final Score" dataDxfId="3">
      <calculatedColumnFormula>SUM(H2,I2)</calculatedColumnFormula>
    </tableColumn>
    <tableColumn id="11" xr3:uid="{00000000-0010-0000-0000-00000B000000}" name="Full Name" dataDxfId="2">
      <calculatedColumnFormula>CONCATENATE(B2," ",C2)</calculatedColumnFormula>
    </tableColumn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D14" sqref="D14"/>
    </sheetView>
  </sheetViews>
  <sheetFormatPr defaultRowHeight="14.5" x14ac:dyDescent="0.35"/>
  <cols>
    <col min="1" max="1" width="14.36328125" style="1" customWidth="1"/>
    <col min="2" max="2" width="12.7265625" style="1" customWidth="1"/>
    <col min="3" max="3" width="12.36328125" style="1" customWidth="1"/>
    <col min="4" max="9" width="10.08984375" style="1" customWidth="1"/>
    <col min="10" max="10" width="12.6328125" style="1" customWidth="1"/>
    <col min="11" max="11" width="15.54296875" style="1" bestFit="1" customWidth="1"/>
  </cols>
  <sheetData>
    <row r="1" spans="1:11" ht="16" thickBot="1" x14ac:dyDescent="0.4">
      <c r="A1" s="13" t="s">
        <v>0</v>
      </c>
      <c r="B1" s="14" t="s">
        <v>1</v>
      </c>
      <c r="C1" s="14" t="s">
        <v>2</v>
      </c>
      <c r="D1" s="14" t="s">
        <v>3</v>
      </c>
      <c r="E1" s="48" t="s">
        <v>29</v>
      </c>
      <c r="F1" s="14" t="s">
        <v>4</v>
      </c>
      <c r="G1" s="14" t="s">
        <v>32</v>
      </c>
      <c r="H1" s="14" t="s">
        <v>5</v>
      </c>
      <c r="I1" s="14" t="s">
        <v>35</v>
      </c>
      <c r="J1" s="14" t="s">
        <v>6</v>
      </c>
      <c r="K1" s="15" t="s">
        <v>7</v>
      </c>
    </row>
    <row r="2" spans="1:11" x14ac:dyDescent="0.35">
      <c r="A2" s="9">
        <v>1</v>
      </c>
      <c r="B2" s="3" t="s">
        <v>10</v>
      </c>
      <c r="C2" s="3" t="s">
        <v>18</v>
      </c>
      <c r="D2" s="4">
        <v>38750</v>
      </c>
      <c r="E2" s="3" t="s">
        <v>30</v>
      </c>
      <c r="F2" s="3">
        <v>15</v>
      </c>
      <c r="G2" s="3" t="s">
        <v>33</v>
      </c>
      <c r="H2" s="3">
        <v>84</v>
      </c>
      <c r="I2" s="3">
        <v>87</v>
      </c>
      <c r="J2" s="3">
        <f>SUM(H2,I2)</f>
        <v>171</v>
      </c>
      <c r="K2" s="11" t="str">
        <f>CONCATENATE(B2," ",C2)</f>
        <v xml:space="preserve"> Anshu  Patel</v>
      </c>
    </row>
    <row r="3" spans="1:11" x14ac:dyDescent="0.35">
      <c r="A3" s="16">
        <v>2</v>
      </c>
      <c r="B3" s="17" t="s">
        <v>12</v>
      </c>
      <c r="C3" s="17" t="s">
        <v>19</v>
      </c>
      <c r="D3" s="18">
        <v>38494</v>
      </c>
      <c r="E3" s="17" t="s">
        <v>31</v>
      </c>
      <c r="F3" s="17">
        <v>16</v>
      </c>
      <c r="G3" s="17" t="s">
        <v>27</v>
      </c>
      <c r="H3" s="17">
        <v>88</v>
      </c>
      <c r="I3" s="17">
        <v>98</v>
      </c>
      <c r="J3" s="17">
        <f t="shared" ref="J3:J11" si="0">SUM(H3,I3)</f>
        <v>186</v>
      </c>
      <c r="K3" s="19" t="str">
        <f t="shared" ref="K3:K11" si="1">CONCATENATE(B3," ",C3)</f>
        <v>Shikha Ray</v>
      </c>
    </row>
    <row r="4" spans="1:11" x14ac:dyDescent="0.35">
      <c r="A4" s="20">
        <v>3</v>
      </c>
      <c r="B4" s="21" t="s">
        <v>9</v>
      </c>
      <c r="C4" s="21" t="s">
        <v>20</v>
      </c>
      <c r="D4" s="22">
        <v>39620</v>
      </c>
      <c r="E4" s="21" t="s">
        <v>30</v>
      </c>
      <c r="F4" s="21">
        <v>13</v>
      </c>
      <c r="G4" s="21" t="s">
        <v>34</v>
      </c>
      <c r="H4" s="21">
        <v>78</v>
      </c>
      <c r="I4" s="21">
        <v>76</v>
      </c>
      <c r="J4" s="21">
        <f t="shared" si="0"/>
        <v>154</v>
      </c>
      <c r="K4" s="23" t="str">
        <f t="shared" si="1"/>
        <v>Shubham  Mishra</v>
      </c>
    </row>
    <row r="5" spans="1:11" x14ac:dyDescent="0.35">
      <c r="A5" s="26">
        <v>4</v>
      </c>
      <c r="B5" s="27" t="s">
        <v>8</v>
      </c>
      <c r="C5" s="27" t="s">
        <v>21</v>
      </c>
      <c r="D5" s="28">
        <v>38772</v>
      </c>
      <c r="E5" s="27" t="s">
        <v>31</v>
      </c>
      <c r="F5" s="27">
        <v>14</v>
      </c>
      <c r="G5" s="27" t="s">
        <v>28</v>
      </c>
      <c r="H5" s="27">
        <v>98</v>
      </c>
      <c r="I5" s="27">
        <v>67</v>
      </c>
      <c r="J5" s="27">
        <f t="shared" si="0"/>
        <v>165</v>
      </c>
      <c r="K5" s="29" t="str">
        <f t="shared" si="1"/>
        <v>Shivani  Verma</v>
      </c>
    </row>
    <row r="6" spans="1:11" x14ac:dyDescent="0.35">
      <c r="A6" s="38">
        <v>5</v>
      </c>
      <c r="B6" s="39" t="s">
        <v>11</v>
      </c>
      <c r="C6" s="39" t="s">
        <v>22</v>
      </c>
      <c r="D6" s="40">
        <v>38846</v>
      </c>
      <c r="E6" s="39" t="s">
        <v>30</v>
      </c>
      <c r="F6" s="39">
        <v>13</v>
      </c>
      <c r="G6" s="39" t="s">
        <v>33</v>
      </c>
      <c r="H6" s="39">
        <v>95</v>
      </c>
      <c r="I6" s="39">
        <v>76</v>
      </c>
      <c r="J6" s="39">
        <f t="shared" si="0"/>
        <v>171</v>
      </c>
      <c r="K6" s="41" t="str">
        <f t="shared" si="1"/>
        <v>Bipin Kumar</v>
      </c>
    </row>
    <row r="7" spans="1:11" x14ac:dyDescent="0.35">
      <c r="A7" s="30">
        <v>6</v>
      </c>
      <c r="B7" s="31" t="s">
        <v>13</v>
      </c>
      <c r="C7" s="31" t="s">
        <v>23</v>
      </c>
      <c r="D7" s="32">
        <v>37917</v>
      </c>
      <c r="E7" s="31" t="s">
        <v>31</v>
      </c>
      <c r="F7" s="31">
        <v>14</v>
      </c>
      <c r="G7" s="31" t="s">
        <v>27</v>
      </c>
      <c r="H7" s="31">
        <v>56</v>
      </c>
      <c r="I7" s="31">
        <v>88</v>
      </c>
      <c r="J7" s="31">
        <f t="shared" si="0"/>
        <v>144</v>
      </c>
      <c r="K7" s="33" t="str">
        <f t="shared" si="1"/>
        <v>Rekha Devi</v>
      </c>
    </row>
    <row r="8" spans="1:11" x14ac:dyDescent="0.35">
      <c r="A8" s="10">
        <v>7</v>
      </c>
      <c r="B8" s="7" t="s">
        <v>14</v>
      </c>
      <c r="C8" s="7" t="s">
        <v>24</v>
      </c>
      <c r="D8" s="8">
        <v>39021</v>
      </c>
      <c r="E8" s="7" t="s">
        <v>30</v>
      </c>
      <c r="F8" s="7">
        <v>15</v>
      </c>
      <c r="G8" s="7" t="s">
        <v>34</v>
      </c>
      <c r="H8" s="7">
        <v>99</v>
      </c>
      <c r="I8" s="7">
        <v>90</v>
      </c>
      <c r="J8" s="7">
        <f t="shared" si="0"/>
        <v>189</v>
      </c>
      <c r="K8" s="12" t="str">
        <f t="shared" si="1"/>
        <v>Hemant Katiyar</v>
      </c>
    </row>
    <row r="9" spans="1:11" x14ac:dyDescent="0.35">
      <c r="A9" s="34">
        <v>8</v>
      </c>
      <c r="B9" s="35" t="s">
        <v>15</v>
      </c>
      <c r="C9" s="35" t="s">
        <v>25</v>
      </c>
      <c r="D9" s="36">
        <v>38736</v>
      </c>
      <c r="E9" s="35" t="s">
        <v>31</v>
      </c>
      <c r="F9" s="35">
        <v>14</v>
      </c>
      <c r="G9" s="35" t="s">
        <v>28</v>
      </c>
      <c r="H9" s="35">
        <v>99</v>
      </c>
      <c r="I9" s="35">
        <v>89</v>
      </c>
      <c r="J9" s="35">
        <f t="shared" si="0"/>
        <v>188</v>
      </c>
      <c r="K9" s="37" t="str">
        <f t="shared" si="1"/>
        <v>Supriya Singh</v>
      </c>
    </row>
    <row r="10" spans="1:11" x14ac:dyDescent="0.35">
      <c r="A10" s="24">
        <v>9</v>
      </c>
      <c r="B10" s="5" t="s">
        <v>16</v>
      </c>
      <c r="C10" s="5" t="s">
        <v>21</v>
      </c>
      <c r="D10" s="6">
        <v>38777</v>
      </c>
      <c r="E10" s="5" t="s">
        <v>30</v>
      </c>
      <c r="F10" s="5">
        <v>16</v>
      </c>
      <c r="G10" s="5" t="s">
        <v>33</v>
      </c>
      <c r="H10" s="5">
        <v>56</v>
      </c>
      <c r="I10" s="5">
        <v>89</v>
      </c>
      <c r="J10" s="5">
        <f t="shared" si="0"/>
        <v>145</v>
      </c>
      <c r="K10" s="25" t="str">
        <f t="shared" si="1"/>
        <v>Ansh Verma</v>
      </c>
    </row>
    <row r="11" spans="1:11" x14ac:dyDescent="0.35">
      <c r="A11" s="42">
        <v>10</v>
      </c>
      <c r="B11" s="43" t="s">
        <v>17</v>
      </c>
      <c r="C11" s="43" t="s">
        <v>26</v>
      </c>
      <c r="D11" s="44">
        <v>39663</v>
      </c>
      <c r="E11" s="43" t="s">
        <v>31</v>
      </c>
      <c r="F11" s="43">
        <v>15</v>
      </c>
      <c r="G11" s="43" t="s">
        <v>27</v>
      </c>
      <c r="H11" s="43">
        <v>43</v>
      </c>
      <c r="I11" s="43">
        <v>67</v>
      </c>
      <c r="J11" s="43">
        <f t="shared" si="0"/>
        <v>110</v>
      </c>
      <c r="K11" s="45" t="str">
        <f t="shared" si="1"/>
        <v>Seema Kashyap</v>
      </c>
    </row>
    <row r="13" spans="1:11" x14ac:dyDescent="0.35">
      <c r="C13" s="46" t="str">
        <f>B4</f>
        <v xml:space="preserve">Shubham </v>
      </c>
      <c r="D13" s="1">
        <f>VLOOKUP(C13,Table1[[First Name]:[Full Name]],8,FALSE)</f>
        <v>76</v>
      </c>
      <c r="F13" s="47"/>
    </row>
  </sheetData>
  <conditionalFormatting sqref="G1">
    <cfRule type="duplicateValues" dxfId="1" priority="2"/>
  </conditionalFormatting>
  <conditionalFormatting sqref="G13">
    <cfRule type="duplicateValues" dxfId="0" priority="3"/>
  </conditionalFormatting>
  <conditionalFormatting sqref="H1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E1" location="Sheet2!A1" display="Gender" xr:uid="{00000000-0004-0000-0000-000000000000}"/>
  </hyperlink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>
      <selection activeCell="F13" sqref="F13"/>
    </sheetView>
  </sheetViews>
  <sheetFormatPr defaultRowHeight="14.5" x14ac:dyDescent="0.35"/>
  <cols>
    <col min="4" max="4" width="10.6328125" bestFit="1" customWidth="1"/>
    <col min="5" max="5" width="10.7265625" bestFit="1" customWidth="1"/>
  </cols>
  <sheetData>
    <row r="1" spans="1:5" ht="16" thickBot="1" x14ac:dyDescent="0.4">
      <c r="A1" s="49" t="s">
        <v>29</v>
      </c>
      <c r="B1" s="2" t="s">
        <v>5</v>
      </c>
      <c r="C1" s="2" t="s">
        <v>35</v>
      </c>
      <c r="D1" s="2" t="s">
        <v>6</v>
      </c>
      <c r="E1" s="2" t="s">
        <v>1</v>
      </c>
    </row>
    <row r="2" spans="1:5" x14ac:dyDescent="0.35">
      <c r="A2" s="3" t="s">
        <v>30</v>
      </c>
      <c r="B2" s="3">
        <v>84</v>
      </c>
      <c r="C2" s="3">
        <v>87</v>
      </c>
      <c r="D2" s="3">
        <f>SUM(B2,C2)</f>
        <v>171</v>
      </c>
      <c r="E2" s="3" t="s">
        <v>10</v>
      </c>
    </row>
    <row r="3" spans="1:5" x14ac:dyDescent="0.35">
      <c r="A3" s="17" t="s">
        <v>31</v>
      </c>
      <c r="B3" s="17">
        <v>88</v>
      </c>
      <c r="C3" s="17">
        <v>98</v>
      </c>
      <c r="D3" s="17">
        <f t="shared" ref="D3:D11" si="0">SUM(B3,C3)</f>
        <v>186</v>
      </c>
      <c r="E3" s="17" t="s">
        <v>12</v>
      </c>
    </row>
    <row r="4" spans="1:5" x14ac:dyDescent="0.35">
      <c r="A4" s="21" t="s">
        <v>30</v>
      </c>
      <c r="B4" s="21">
        <v>78</v>
      </c>
      <c r="C4" s="21">
        <v>76</v>
      </c>
      <c r="D4" s="21">
        <f t="shared" si="0"/>
        <v>154</v>
      </c>
      <c r="E4" s="21" t="s">
        <v>9</v>
      </c>
    </row>
    <row r="5" spans="1:5" x14ac:dyDescent="0.35">
      <c r="A5" s="27" t="s">
        <v>31</v>
      </c>
      <c r="B5" s="27">
        <v>98</v>
      </c>
      <c r="C5" s="27">
        <v>67</v>
      </c>
      <c r="D5" s="27">
        <f t="shared" si="0"/>
        <v>165</v>
      </c>
      <c r="E5" s="27" t="s">
        <v>8</v>
      </c>
    </row>
    <row r="6" spans="1:5" x14ac:dyDescent="0.35">
      <c r="A6" s="39" t="s">
        <v>30</v>
      </c>
      <c r="B6" s="39">
        <v>95</v>
      </c>
      <c r="C6" s="39">
        <v>76</v>
      </c>
      <c r="D6" s="39">
        <f t="shared" si="0"/>
        <v>171</v>
      </c>
      <c r="E6" s="39" t="s">
        <v>11</v>
      </c>
    </row>
    <row r="7" spans="1:5" x14ac:dyDescent="0.35">
      <c r="A7" s="31" t="s">
        <v>31</v>
      </c>
      <c r="B7" s="31">
        <v>56</v>
      </c>
      <c r="C7" s="31">
        <v>88</v>
      </c>
      <c r="D7" s="31">
        <f t="shared" si="0"/>
        <v>144</v>
      </c>
      <c r="E7" s="31" t="s">
        <v>13</v>
      </c>
    </row>
    <row r="8" spans="1:5" x14ac:dyDescent="0.35">
      <c r="A8" s="7" t="s">
        <v>30</v>
      </c>
      <c r="B8" s="7">
        <v>99</v>
      </c>
      <c r="C8" s="7">
        <v>90</v>
      </c>
      <c r="D8" s="7">
        <f t="shared" si="0"/>
        <v>189</v>
      </c>
      <c r="E8" s="7" t="s">
        <v>14</v>
      </c>
    </row>
    <row r="9" spans="1:5" x14ac:dyDescent="0.35">
      <c r="A9" s="35" t="s">
        <v>31</v>
      </c>
      <c r="B9" s="35">
        <v>99</v>
      </c>
      <c r="C9" s="35">
        <v>89</v>
      </c>
      <c r="D9" s="35">
        <f t="shared" si="0"/>
        <v>188</v>
      </c>
      <c r="E9" s="35" t="s">
        <v>15</v>
      </c>
    </row>
    <row r="10" spans="1:5" x14ac:dyDescent="0.35">
      <c r="A10" s="5" t="s">
        <v>30</v>
      </c>
      <c r="B10" s="5">
        <v>56</v>
      </c>
      <c r="C10" s="5">
        <v>89</v>
      </c>
      <c r="D10" s="5">
        <f t="shared" si="0"/>
        <v>145</v>
      </c>
      <c r="E10" s="5" t="s">
        <v>16</v>
      </c>
    </row>
    <row r="11" spans="1:5" ht="15" thickBot="1" x14ac:dyDescent="0.4">
      <c r="A11" s="50" t="s">
        <v>31</v>
      </c>
      <c r="B11" s="50">
        <v>43</v>
      </c>
      <c r="C11" s="50">
        <v>67</v>
      </c>
      <c r="D11" s="50">
        <f t="shared" si="0"/>
        <v>110</v>
      </c>
      <c r="E11" s="50" t="s">
        <v>17</v>
      </c>
    </row>
  </sheetData>
  <hyperlinks>
    <hyperlink ref="A1" location="Sheet2!A1" display="Gender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heman</dc:creator>
  <cp:lastModifiedBy>Hemant Katiyar</cp:lastModifiedBy>
  <dcterms:created xsi:type="dcterms:W3CDTF">2026-09-22T05:29:25Z</dcterms:created>
  <dcterms:modified xsi:type="dcterms:W3CDTF">2026-10-05T05:58:51Z</dcterms:modified>
</cp:coreProperties>
</file>